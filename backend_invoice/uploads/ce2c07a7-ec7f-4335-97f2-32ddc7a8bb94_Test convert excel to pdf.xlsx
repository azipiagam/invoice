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LTI DAYA\Desktop\"/>
    </mc:Choice>
  </mc:AlternateContent>
  <bookViews>
    <workbookView xWindow="0" yWindow="0" windowWidth="14400" windowHeight="82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<sst xmlns="http://schemas.openxmlformats.org/spreadsheetml/2006/main" count="457" uniqueCount="188">
  <si>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</si>
  <si>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</si>
  <si>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</si>
  <si>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</si>
  <si>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</si>
  <si>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</si>
  <si>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</si>
  <si>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</si>
  <si>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</si>
  <si>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</si>
  <si>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</si>
  <si>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</si>
  <si>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</si>
  <si>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</si>
  <si>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</si>
  <si>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</si>
  <si>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</si>
  <si>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</si>
  <si>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</si>
  <si>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</si>
  <si>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</si>
  <si>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</si>
  <si>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</si>
  <si>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</si>
  <si>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</si>
  <si>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</si>
  <si>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</si>
  <si>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</si>
  <si>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</si>
  <si>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</si>
  <si>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</si>
  <si>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</si>
  <si>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</si>
  <si>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</si>
  <si>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</si>
  <si>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</si>
  <si>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</si>
  <si>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TP-INV/20240331/MPL/3829723032</t>
  </si>
  <si>
    <t>PICK-000118750</t>
  </si>
  <si>
    <t>INV-012382695</t>
  </si>
  <si>
    <t>COMPLETED</t>
  </si>
  <si>
    <t>GK-11-758220411</t>
  </si>
  <si>
    <t>GoSend Instant 3 Jam</t>
  </si>
  <si>
    <t>01/Apr/2024 06:41:52</t>
  </si>
  <si>
    <t>NON COD</t>
  </si>
  <si>
    <t>GT-DMKF-94RW</t>
  </si>
  <si>
    <t>GOTO DISPOSABLE MASK KF94 EARLOOP WHITE (10PCS/PACK)</t>
  </si>
  <si>
    <t>Putih</t>
  </si>
  <si>
    <t/>
  </si>
  <si>
    <t>Rendra Dwi Atmojo</t>
  </si>
  <si>
    <t>*********6269</t>
  </si>
  <si>
    <t>Jalan Karet 4 no 23 Perumnas 1 kelurahan cibodasari kecamatan cibodas</t>
  </si>
  <si>
    <t>Kota Tangerang</t>
  </si>
  <si>
    <t>Banten</t>
  </si>
  <si>
    <t>Pusat</t>
  </si>
  <si>
    <t>TOKOPEDIA - GOTO Indonesia</t>
  </si>
  <si>
    <t>GT-DMKF-94RB</t>
  </si>
  <si>
    <t>GOTO DISPOSABLE MASK KF94 EARLOOP BLACK (10PCS/PACK)</t>
  </si>
  <si>
    <t>Black</t>
  </si>
  <si>
    <t>GN-220056</t>
  </si>
  <si>
    <t>GOTO DISPOSABLE MASK KF94 EARLOOP CREAM (10PCS/PACK)</t>
  </si>
  <si>
    <t xml:space="preserve"> </t>
  </si>
  <si>
    <t>GN-220052</t>
  </si>
  <si>
    <t>GOTO DISPOSABLE MASK KF94 EARLOOP PEACH (10PCS/PACK)</t>
  </si>
  <si>
    <t>GN-220055</t>
  </si>
  <si>
    <t>GOTO DISPOSABLE MASK KF94 EARLOOP MATCHA (10PCS/PACK)</t>
  </si>
  <si>
    <t>GN-220053</t>
  </si>
  <si>
    <t>GOTO DISPOSABLE MASK KF94 EARLOOP SOFT PINK (10PCS/PACK)</t>
  </si>
  <si>
    <t>TP-INV/20240331/MPL/3830492021</t>
  </si>
  <si>
    <t>PICK-000118791</t>
  </si>
  <si>
    <t>INV-012382696</t>
  </si>
  <si>
    <t>GK-11-758220422</t>
  </si>
  <si>
    <t>682200002585</t>
  </si>
  <si>
    <t>GOTO FALTO MULTIPURPOSE TABLE 152 WHITE</t>
  </si>
  <si>
    <t>Boy</t>
  </si>
  <si>
    <t>*********2310</t>
  </si>
  <si>
    <t>Jl. H. Muchtar Raya, Kec. Pesanggrahan, Kota Jakarta Selatan, Daerah Khusus Ibukota Jakarta, 15156 [Tokopedia Note: Jl. H Muchtar Raya no.2 Rt 004 RW 013 Kreo, Larangan, Bante (Seberang ketoprak amad. Rumah PAGAR HIJAU)</t>
  </si>
  <si>
    <t>Kota Administrasi Jakarta Selatan</t>
  </si>
  <si>
    <t>DKI Jakarta</t>
  </si>
  <si>
    <t>TP-INV/20240331/MPL/3829248184</t>
  </si>
  <si>
    <t>PICK-000118752</t>
  </si>
  <si>
    <t>INV-012382697</t>
  </si>
  <si>
    <t>IN-2-0ITLBBUNJSW68LIL777B</t>
  </si>
  <si>
    <t>GrabExpress Instant 3 Jam</t>
  </si>
  <si>
    <t>01/Apr/2024 06:41:53</t>
  </si>
  <si>
    <t>682200003315</t>
  </si>
  <si>
    <t>GOTO SUNFLOW BEACH UMBRELLA 200CM UV RAINBOW</t>
  </si>
  <si>
    <t>veni levita</t>
  </si>
  <si>
    <t>*********0333</t>
  </si>
  <si>
    <t>Jl. tulip I, blok O2 no 18 Kec. Periuk, Kota Tangerang, Banten,</t>
  </si>
  <si>
    <t>682200003319</t>
  </si>
  <si>
    <t>GOTO FICUS TRIPOD UMBRELLA WHITE</t>
  </si>
  <si>
    <t>TP-INV/20240331/MPL/3830264768</t>
  </si>
  <si>
    <t>PICK-000118766</t>
  </si>
  <si>
    <t>INV-012382698</t>
  </si>
  <si>
    <t>GK-11-758220423</t>
  </si>
  <si>
    <t>GN-210210</t>
  </si>
  <si>
    <t>GOTO HOME SLIPPER POMPO PINK 38-39</t>
  </si>
  <si>
    <t>DEALBELLE</t>
  </si>
  <si>
    <t>*********4844</t>
  </si>
  <si>
    <t>Philo house (Ada tulisan depan kosnya)</t>
  </si>
  <si>
    <t>Kab. Tangerang</t>
  </si>
  <si>
    <t>TP-INV/20240331/MPL/3830859612</t>
  </si>
  <si>
    <t>PICK-000118761</t>
  </si>
  <si>
    <t>INV-012382699</t>
  </si>
  <si>
    <t>GK-11-758220419</t>
  </si>
  <si>
    <t>01/Apr/2024 06:41:54</t>
  </si>
  <si>
    <t>682200001519</t>
  </si>
  <si>
    <t>GOTO MULTIPURPOSE TABLE FLIPPER WHITE</t>
  </si>
  <si>
    <t>AUDREY SINGGIH</t>
  </si>
  <si>
    <t>*********0531</t>
  </si>
  <si>
    <t>Kebayoran Village, Pondok Pucung, Pondok Aren, South Tangerang City, Banten, 15229 [Kebayoran Village Blok E-01, Jl Griya Taman VI.A]</t>
  </si>
  <si>
    <t>Kota Tangerang Selatan</t>
  </si>
  <si>
    <t>TP-INV/20240331/MPL/3829974472</t>
  </si>
  <si>
    <t>PICK-000118757</t>
  </si>
  <si>
    <t>INV-012382700</t>
  </si>
  <si>
    <t>IN-2-0ITLBBUNJSTWZF7DAS67</t>
  </si>
  <si>
    <t>682200002578</t>
  </si>
  <si>
    <t>KOVA DIVEN LADDER TELESCOPIC DOUBLE SIDE 6+7</t>
  </si>
  <si>
    <t>Apang</t>
  </si>
  <si>
    <t>********0164</t>
  </si>
  <si>
    <t>Jln. Masjid Baiturahim warung samsul/jihan, pdk karya, pdk aren, tangsel 15222 ( woksop sebelah warung ) (belakang Pom Bensin Pertamina jln Ceger Raya)</t>
  </si>
  <si>
    <t>TP-INV/20240331/MPL/3830151187</t>
  </si>
  <si>
    <t>INV-012382748</t>
  </si>
  <si>
    <t>10008623199374</t>
  </si>
  <si>
    <t>AnterAja Same Day</t>
  </si>
  <si>
    <t>01/Apr/2024 06:45:35</t>
  </si>
  <si>
    <t>GT-SBS-BC</t>
  </si>
  <si>
    <t>GOTO SHOE BOX STACKO BLACK</t>
  </si>
  <si>
    <t>Rassya ( Tya )</t>
  </si>
  <si>
    <t>*********9609</t>
  </si>
  <si>
    <t>Jl. Plumpang B No. 9. RT.006/005. Kel.Rawa Badak Selatan. Kec. Koja. Jakarta Utara (Jalan K 1 / Gang Sutet)</t>
  </si>
  <si>
    <t>Kota Administrasi Jakarta Utara</t>
  </si>
  <si>
    <t>TP-INV/20240331/MPL/3830384869</t>
  </si>
  <si>
    <t>PICK-000118759</t>
  </si>
  <si>
    <t>INV-012382749</t>
  </si>
  <si>
    <t>10008624363347</t>
  </si>
  <si>
    <t>GN-220008</t>
  </si>
  <si>
    <t>GOTO MOP ABEL BLUE</t>
  </si>
  <si>
    <t>Natalia Kosani</t>
  </si>
  <si>
    <t>*********6163</t>
  </si>
  <si>
    <t>Jl. Duri B Gg 4 no.12A. Rt 009 Rw 04 Kel. Duri Pulo.</t>
  </si>
  <si>
    <t>Kota Administrasi Jakarta Pusat</t>
  </si>
  <si>
    <t>TP-INV/20240401/MPL/3831153827</t>
  </si>
  <si>
    <t>PICK-000118781</t>
  </si>
  <si>
    <t>INV-012382750</t>
  </si>
  <si>
    <t>10008624378853</t>
  </si>
  <si>
    <t>GT-GPLG-BL</t>
  </si>
  <si>
    <t>GOTO GALLON PUMP LAGUNA BLACK</t>
  </si>
  <si>
    <t>Mia Gilang</t>
  </si>
  <si>
    <t>*********8678</t>
  </si>
  <si>
    <t>Jl. Jati Petamburan I Gg. IV RT 006 RW 001 no. 16 Petamburan, Tanah Abang, Jakarta Pusat 10260</t>
  </si>
  <si>
    <t>TP-INV/20240401/MPL/3831148717</t>
  </si>
  <si>
    <t>INV-012382751</t>
  </si>
  <si>
    <t>10008624378763</t>
  </si>
  <si>
    <t>682200002199</t>
  </si>
  <si>
    <t>GOTO ELECTRIC PAN OSCAR WHITE</t>
  </si>
  <si>
    <t>Yanuar Agung Raharja</t>
  </si>
  <si>
    <t>*******0370</t>
  </si>
  <si>
    <t>Jl. Pandan Permai Raya No. 147 RT.016/RW.02, Petukangan Selatan,  Jakarta Selatan Jakarta</t>
  </si>
  <si>
    <t>TP-INV/20240401/MPL/3830973185</t>
  </si>
  <si>
    <t>PICK-000118776</t>
  </si>
  <si>
    <t>INV-012382752</t>
  </si>
  <si>
    <t>10008624376655</t>
  </si>
  <si>
    <t>01/Apr/2024 06:45:36</t>
  </si>
  <si>
    <t>GT-DHSL-EC</t>
  </si>
  <si>
    <t>GOTO LUGGAGE SCALE KOGASI</t>
  </si>
  <si>
    <t>Imelda</t>
  </si>
  <si>
    <t>*********9110</t>
  </si>
  <si>
    <t>Cluster Caelus D8/10, Greenwich Park BSD</t>
  </si>
  <si>
    <t>TP-INV/20240401/MPL/3830929305</t>
  </si>
  <si>
    <t>INV-012382753</t>
  </si>
  <si>
    <t>CANCELED</t>
  </si>
  <si>
    <t>10008624385644</t>
  </si>
  <si>
    <t>GT-YGMT-NBC</t>
  </si>
  <si>
    <t>GOTO YOGA MAT NBR 10MM BLACK</t>
  </si>
  <si>
    <t>Hitam</t>
  </si>
  <si>
    <t>Denbas Fadhlan</t>
  </si>
  <si>
    <t>*********3120</t>
  </si>
  <si>
    <t>Jl. Bendi 15 Nomer 28</t>
  </si>
  <si>
    <t>GT-SHBR-PN</t>
  </si>
  <si>
    <t>GOTO STAND HANGER GITA PINK</t>
  </si>
  <si>
    <t>Pink</t>
  </si>
  <si>
    <t>GT-SBVL-CRD</t>
  </si>
  <si>
    <t>GOTO STORAGE BOX VELIP CREAM DOT</t>
  </si>
  <si>
    <t>Cream Dot</t>
  </si>
  <si>
    <t>GN-210055</t>
  </si>
  <si>
    <t>GOTO BODY SCALE CHARACTER PURE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</si>
</sst>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\ hh:mm"/>
  </numFmts>
  <fonts count="3">
    <font>
      <sz val="11"/>
      <color theme="1"/>
      <name val="Calibri"/>
      <family val="2"/>
      <charset val="1"/>
      <scheme val="minor"/>
    </font>
    <font>
      <sz val="11"/>
      <color theme="1"/>
      <name val="Calibri"/>
      <scheme val="minor"/>
    </font>
    <font>
      <sz val="11"/>
      <color indexed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/>
    <xf numFmtId="0" fontId="2" fillId="2" borderId="0" xfId="0" applyFont="1" applyFill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tabSelected="1" workbookViewId="0">
      <selection activeCell="C15" sqref="C15"/>
    </sheetView>
  </sheetViews>
  <sheetFormatPr defaultRowHeight="15"/>
  <cols>
    <col min="1" max="1" width="4.42578125" style="6" bestFit="1" customWidth="1"/>
    <col min="2" max="2" width="7.28515625" style="6" bestFit="1" customWidth="1"/>
    <col min="3" max="3" width="32.140625" style="6" bestFit="1" customWidth="1"/>
    <col min="4" max="4" width="14.85546875" style="6" bestFit="1" customWidth="1"/>
    <col min="5" max="5" width="14.140625" style="6" bestFit="1" customWidth="1"/>
    <col min="6" max="6" width="14.42578125" style="6" bestFit="1" customWidth="1"/>
    <col min="7" max="7" width="27.5703125" style="6" bestFit="1" customWidth="1"/>
    <col min="8" max="8" width="24.140625" style="6" bestFit="1" customWidth="1"/>
    <col min="9" max="9" width="32.85546875" style="6" bestFit="1" customWidth="1"/>
    <col min="10" max="10" width="21.140625" style="6" bestFit="1" customWidth="1"/>
    <col min="11" max="11" width="27.85546875" style="6" bestFit="1" customWidth="1"/>
    <col min="12" max="12" width="19.7109375" style="6" bestFit="1" customWidth="1"/>
    <col min="13" max="13" width="14.42578125" style="6" bestFit="1" customWidth="1"/>
    <col min="14" max="14" width="15" style="6" bestFit="1" customWidth="1"/>
    <col min="15" max="15" width="60.140625" style="6" bestFit="1" customWidth="1"/>
    <col min="16" max="16" width="10.28515625" style="6" bestFit="1" customWidth="1"/>
    <col min="17" max="17" width="10.85546875" style="6" bestFit="1" customWidth="1"/>
    <col min="18" max="18" width="19.85546875" style="6" bestFit="1" customWidth="1"/>
    <col min="19" max="19" width="7.28515625" style="6" bestFit="1" customWidth="1"/>
    <col min="20" max="20" width="17.85546875" style="6" bestFit="1" customWidth="1"/>
    <col min="21" max="21" width="11.85546875" style="6" bestFit="1" customWidth="1"/>
    <col min="22" max="22" width="5.7109375" style="6" bestFit="1" customWidth="1"/>
    <col min="23" max="23" width="22.28515625" style="6" bestFit="1" customWidth="1"/>
    <col min="24" max="24" width="10.5703125" style="6" bestFit="1" customWidth="1"/>
    <col min="25" max="25" width="28.28515625" style="6" bestFit="1" customWidth="1"/>
    <col min="26" max="26" width="17" style="6" bestFit="1" customWidth="1"/>
    <col min="27" max="27" width="22" style="6" bestFit="1" customWidth="1"/>
    <col min="28" max="28" width="7.7109375" style="6" bestFit="1" customWidth="1"/>
    <col min="29" max="29" width="10" style="6" bestFit="1" customWidth="1"/>
    <col min="30" max="30" width="20.28515625" style="6" bestFit="1" customWidth="1"/>
    <col min="31" max="31" width="14.140625" style="6" bestFit="1" customWidth="1"/>
    <col min="32" max="32" width="205.42578125" style="6" bestFit="1" customWidth="1"/>
    <col min="33" max="33" width="30.85546875" style="6" bestFit="1" customWidth="1"/>
    <col min="34" max="34" width="10.5703125" style="6" bestFit="1" customWidth="1"/>
    <col min="35" max="35" width="11.140625" style="6" bestFit="1" customWidth="1"/>
    <col min="36" max="36" width="27.7109375" style="6" bestFit="1" customWidth="1"/>
    <col min="37" max="37" width="11.5703125" style="6" bestFit="1" customWidth="1"/>
    <col min="38" max="16384" width="9.140625" style="6"/>
  </cols>
  <sheetData>
    <row r="1" spans="1:37" s="3" customFormat="1">
      <c r="A1" s="1" t="s">
        <v>0</v>
      </c>
      <c r="B1" s="1" t="s">
        <v>1</v>
      </c>
      <c r="C1" s="5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5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5" t="s">
        <v>35</v>
      </c>
      <c r="AK1" s="2" t="s">
        <v>36</v>
      </c>
    </row>
    <row r="2" spans="1:37" s="3" customFormat="1">
      <c r="A2" s="1">
        <f>IF(C2=C3,1,0)</f>
        <v>1</v>
      </c>
      <c r="B2" s="1">
        <v>1</v>
      </c>
      <c r="C2" s="5" t="s">
        <v>37</v>
      </c>
      <c r="D2" s="2" t="s">
        <v>38</v>
      </c>
      <c r="E2" s="5" t="s">
        <v>39</v>
      </c>
      <c r="F2" s="2" t="s">
        <v>40</v>
      </c>
      <c r="G2" s="2" t="s">
        <v>41</v>
      </c>
      <c r="H2" s="2" t="s">
        <v>42</v>
      </c>
      <c r="I2" s="4">
        <v>45382.613495370402</v>
      </c>
      <c r="J2" s="4">
        <v>45382.613512222197</v>
      </c>
      <c r="K2" s="4">
        <v>45382.613495370402</v>
      </c>
      <c r="L2" s="5" t="s">
        <v>43</v>
      </c>
      <c r="M2" s="2" t="s">
        <v>44</v>
      </c>
      <c r="N2" s="2" t="s">
        <v>45</v>
      </c>
      <c r="O2" s="5" t="s">
        <v>46</v>
      </c>
      <c r="P2" s="2" t="s">
        <v>47</v>
      </c>
      <c r="Q2" s="2">
        <v>7900</v>
      </c>
      <c r="R2" s="5">
        <v>7900</v>
      </c>
      <c r="S2" s="5">
        <v>1</v>
      </c>
      <c r="T2" s="5">
        <v>7900</v>
      </c>
      <c r="U2" s="5">
        <v>0</v>
      </c>
      <c r="V2" s="2">
        <v>300</v>
      </c>
      <c r="W2" s="2">
        <v>7</v>
      </c>
      <c r="X2" s="2">
        <v>600</v>
      </c>
      <c r="Y2" s="2">
        <v>25000</v>
      </c>
      <c r="Z2" s="5">
        <v>61300</v>
      </c>
      <c r="AA2" s="5">
        <v>0</v>
      </c>
      <c r="AB2" s="2" t="s">
        <v>48</v>
      </c>
      <c r="AC2" s="2"/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  <c r="AI2" s="5" t="s">
        <v>54</v>
      </c>
      <c r="AJ2" s="5" t="s">
        <v>55</v>
      </c>
      <c r="AK2" s="2" t="s">
        <v>40</v>
      </c>
    </row>
    <row r="3" spans="1:37" s="3" customFormat="1">
      <c r="A3" s="1">
        <f t="shared" ref="A3:A21" si="0">IF(C3=C4,1,0)</f>
        <v>1</v>
      </c>
      <c r="B3" s="1">
        <v>2</v>
      </c>
      <c r="C3" s="5" t="s">
        <v>37</v>
      </c>
      <c r="D3" s="2" t="s">
        <v>38</v>
      </c>
      <c r="E3" s="5" t="s">
        <v>39</v>
      </c>
      <c r="F3" s="2" t="s">
        <v>40</v>
      </c>
      <c r="G3" s="2" t="s">
        <v>41</v>
      </c>
      <c r="H3" s="2" t="s">
        <v>42</v>
      </c>
      <c r="I3" s="4">
        <v>45382.613495370402</v>
      </c>
      <c r="J3" s="4">
        <v>45382.613512222197</v>
      </c>
      <c r="K3" s="4">
        <v>45382.613495370402</v>
      </c>
      <c r="L3" s="5" t="s">
        <v>43</v>
      </c>
      <c r="M3" s="2" t="s">
        <v>44</v>
      </c>
      <c r="N3" s="2" t="s">
        <v>56</v>
      </c>
      <c r="O3" s="5" t="s">
        <v>57</v>
      </c>
      <c r="P3" s="2" t="s">
        <v>58</v>
      </c>
      <c r="Q3" s="2">
        <v>9900</v>
      </c>
      <c r="R3" s="5">
        <v>9900</v>
      </c>
      <c r="S3" s="5">
        <v>1</v>
      </c>
      <c r="T3" s="5">
        <v>9900</v>
      </c>
      <c r="U3" s="5">
        <v>0</v>
      </c>
      <c r="V3" s="2">
        <v>300</v>
      </c>
      <c r="W3" s="2"/>
      <c r="X3" s="2"/>
      <c r="Y3" s="2">
        <v>25000</v>
      </c>
      <c r="Z3" s="5">
        <v>61300</v>
      </c>
      <c r="AA3" s="5">
        <v>0</v>
      </c>
      <c r="AB3" s="2" t="s">
        <v>48</v>
      </c>
      <c r="AC3" s="2"/>
      <c r="AD3" s="2" t="s">
        <v>49</v>
      </c>
      <c r="AE3" s="2" t="s">
        <v>50</v>
      </c>
      <c r="AF3" s="2" t="s">
        <v>51</v>
      </c>
      <c r="AG3" s="2" t="s">
        <v>52</v>
      </c>
      <c r="AH3" s="2" t="s">
        <v>53</v>
      </c>
      <c r="AI3" s="5" t="s">
        <v>54</v>
      </c>
      <c r="AJ3" s="5" t="s">
        <v>55</v>
      </c>
      <c r="AK3" s="2" t="s">
        <v>40</v>
      </c>
    </row>
    <row r="4" spans="1:37" s="3" customFormat="1">
      <c r="A4" s="1">
        <f t="shared" si="0"/>
        <v>1</v>
      </c>
      <c r="B4" s="1">
        <v>3</v>
      </c>
      <c r="C4" s="5" t="s">
        <v>37</v>
      </c>
      <c r="D4" s="2" t="s">
        <v>38</v>
      </c>
      <c r="E4" s="5" t="s">
        <v>39</v>
      </c>
      <c r="F4" s="2" t="s">
        <v>40</v>
      </c>
      <c r="G4" s="2" t="s">
        <v>41</v>
      </c>
      <c r="H4" s="2" t="s">
        <v>42</v>
      </c>
      <c r="I4" s="4">
        <v>45382.613495370402</v>
      </c>
      <c r="J4" s="4">
        <v>45382.613512222197</v>
      </c>
      <c r="K4" s="4">
        <v>45382.613495370402</v>
      </c>
      <c r="L4" s="5" t="s">
        <v>43</v>
      </c>
      <c r="M4" s="2" t="s">
        <v>44</v>
      </c>
      <c r="N4" s="2" t="s">
        <v>59</v>
      </c>
      <c r="O4" s="5" t="s">
        <v>60</v>
      </c>
      <c r="P4" s="2" t="s">
        <v>61</v>
      </c>
      <c r="Q4" s="2">
        <v>7900</v>
      </c>
      <c r="R4" s="5">
        <v>7900</v>
      </c>
      <c r="S4" s="5">
        <v>1</v>
      </c>
      <c r="T4" s="5">
        <v>7900</v>
      </c>
      <c r="U4" s="5">
        <v>0</v>
      </c>
      <c r="V4" s="2">
        <v>0</v>
      </c>
      <c r="W4" s="2"/>
      <c r="X4" s="2"/>
      <c r="Y4" s="2">
        <v>25000</v>
      </c>
      <c r="Z4" s="5">
        <v>61300</v>
      </c>
      <c r="AA4" s="5">
        <v>0</v>
      </c>
      <c r="AB4" s="2" t="s">
        <v>48</v>
      </c>
      <c r="AC4" s="2"/>
      <c r="AD4" s="2" t="s">
        <v>49</v>
      </c>
      <c r="AE4" s="2" t="s">
        <v>50</v>
      </c>
      <c r="AF4" s="2" t="s">
        <v>51</v>
      </c>
      <c r="AG4" s="2" t="s">
        <v>52</v>
      </c>
      <c r="AH4" s="2" t="s">
        <v>53</v>
      </c>
      <c r="AI4" s="5" t="s">
        <v>54</v>
      </c>
      <c r="AJ4" s="5" t="s">
        <v>55</v>
      </c>
      <c r="AK4" s="2" t="s">
        <v>40</v>
      </c>
    </row>
    <row r="5" spans="1:37" s="3" customFormat="1">
      <c r="A5" s="1">
        <f t="shared" si="0"/>
        <v>1</v>
      </c>
      <c r="B5" s="1">
        <v>4</v>
      </c>
      <c r="C5" s="5" t="s">
        <v>37</v>
      </c>
      <c r="D5" s="2" t="s">
        <v>38</v>
      </c>
      <c r="E5" s="5" t="s">
        <v>39</v>
      </c>
      <c r="F5" s="2" t="s">
        <v>40</v>
      </c>
      <c r="G5" s="2" t="s">
        <v>41</v>
      </c>
      <c r="H5" s="2" t="s">
        <v>42</v>
      </c>
      <c r="I5" s="4">
        <v>45382.613495370402</v>
      </c>
      <c r="J5" s="4">
        <v>45382.613512222197</v>
      </c>
      <c r="K5" s="4">
        <v>45382.613495370402</v>
      </c>
      <c r="L5" s="5" t="s">
        <v>43</v>
      </c>
      <c r="M5" s="2" t="s">
        <v>44</v>
      </c>
      <c r="N5" s="2" t="s">
        <v>62</v>
      </c>
      <c r="O5" s="5" t="s">
        <v>63</v>
      </c>
      <c r="P5" s="2" t="s">
        <v>61</v>
      </c>
      <c r="Q5" s="2">
        <v>9900</v>
      </c>
      <c r="R5" s="5">
        <v>9900</v>
      </c>
      <c r="S5" s="5">
        <v>1</v>
      </c>
      <c r="T5" s="5">
        <v>9900</v>
      </c>
      <c r="U5" s="5">
        <v>0</v>
      </c>
      <c r="V5" s="2">
        <v>0</v>
      </c>
      <c r="W5" s="2"/>
      <c r="X5" s="2"/>
      <c r="Y5" s="2">
        <v>25000</v>
      </c>
      <c r="Z5" s="5">
        <v>61300</v>
      </c>
      <c r="AA5" s="5">
        <v>0</v>
      </c>
      <c r="AB5" s="2" t="s">
        <v>48</v>
      </c>
      <c r="AC5" s="2"/>
      <c r="AD5" s="2" t="s">
        <v>49</v>
      </c>
      <c r="AE5" s="2" t="s">
        <v>50</v>
      </c>
      <c r="AF5" s="2" t="s">
        <v>51</v>
      </c>
      <c r="AG5" s="2" t="s">
        <v>52</v>
      </c>
      <c r="AH5" s="2" t="s">
        <v>53</v>
      </c>
      <c r="AI5" s="5" t="s">
        <v>54</v>
      </c>
      <c r="AJ5" s="5" t="s">
        <v>55</v>
      </c>
      <c r="AK5" s="2" t="s">
        <v>40</v>
      </c>
    </row>
    <row r="6" spans="1:37" s="3" customFormat="1">
      <c r="A6" s="1">
        <f t="shared" si="0"/>
        <v>1</v>
      </c>
      <c r="B6" s="1">
        <v>5</v>
      </c>
      <c r="C6" s="5" t="s">
        <v>37</v>
      </c>
      <c r="D6" s="2" t="s">
        <v>38</v>
      </c>
      <c r="E6" s="5" t="s">
        <v>39</v>
      </c>
      <c r="F6" s="2" t="s">
        <v>40</v>
      </c>
      <c r="G6" s="2" t="s">
        <v>41</v>
      </c>
      <c r="H6" s="2" t="s">
        <v>42</v>
      </c>
      <c r="I6" s="4">
        <v>45382.613495370402</v>
      </c>
      <c r="J6" s="4">
        <v>45382.613512222197</v>
      </c>
      <c r="K6" s="4">
        <v>45382.613495370402</v>
      </c>
      <c r="L6" s="5" t="s">
        <v>43</v>
      </c>
      <c r="M6" s="2" t="s">
        <v>44</v>
      </c>
      <c r="N6" s="2" t="s">
        <v>64</v>
      </c>
      <c r="O6" s="5" t="s">
        <v>65</v>
      </c>
      <c r="P6" s="2" t="s">
        <v>61</v>
      </c>
      <c r="Q6" s="2">
        <v>9900</v>
      </c>
      <c r="R6" s="5">
        <v>9900</v>
      </c>
      <c r="S6" s="5">
        <v>1</v>
      </c>
      <c r="T6" s="5">
        <v>9900</v>
      </c>
      <c r="U6" s="5">
        <v>0</v>
      </c>
      <c r="V6" s="2">
        <v>0</v>
      </c>
      <c r="W6" s="2"/>
      <c r="X6" s="2"/>
      <c r="Y6" s="2">
        <v>25000</v>
      </c>
      <c r="Z6" s="5">
        <v>61300</v>
      </c>
      <c r="AA6" s="5">
        <v>0</v>
      </c>
      <c r="AB6" s="2" t="s">
        <v>48</v>
      </c>
      <c r="AC6" s="2"/>
      <c r="AD6" s="2" t="s">
        <v>49</v>
      </c>
      <c r="AE6" s="2" t="s">
        <v>50</v>
      </c>
      <c r="AF6" s="2" t="s">
        <v>51</v>
      </c>
      <c r="AG6" s="2" t="s">
        <v>52</v>
      </c>
      <c r="AH6" s="2" t="s">
        <v>53</v>
      </c>
      <c r="AI6" s="5" t="s">
        <v>54</v>
      </c>
      <c r="AJ6" s="5" t="s">
        <v>55</v>
      </c>
      <c r="AK6" s="2" t="s">
        <v>40</v>
      </c>
    </row>
    <row r="7" spans="1:37" s="3" customFormat="1">
      <c r="A7" s="1">
        <f t="shared" si="0"/>
        <v>0</v>
      </c>
      <c r="B7" s="1">
        <v>6</v>
      </c>
      <c r="C7" s="5" t="s">
        <v>37</v>
      </c>
      <c r="D7" s="2" t="s">
        <v>38</v>
      </c>
      <c r="E7" s="5" t="s">
        <v>39</v>
      </c>
      <c r="F7" s="2" t="s">
        <v>40</v>
      </c>
      <c r="G7" s="2" t="s">
        <v>41</v>
      </c>
      <c r="H7" s="2" t="s">
        <v>42</v>
      </c>
      <c r="I7" s="4">
        <v>45382.613495370402</v>
      </c>
      <c r="J7" s="4">
        <v>45382.613512222197</v>
      </c>
      <c r="K7" s="4">
        <v>45382.613495370402</v>
      </c>
      <c r="L7" s="5" t="s">
        <v>43</v>
      </c>
      <c r="M7" s="2" t="s">
        <v>44</v>
      </c>
      <c r="N7" s="2" t="s">
        <v>66</v>
      </c>
      <c r="O7" s="5" t="s">
        <v>67</v>
      </c>
      <c r="P7" s="2" t="s">
        <v>61</v>
      </c>
      <c r="Q7" s="2">
        <v>7900</v>
      </c>
      <c r="R7" s="5">
        <v>7900</v>
      </c>
      <c r="S7" s="5">
        <v>2</v>
      </c>
      <c r="T7" s="5">
        <v>15800</v>
      </c>
      <c r="U7" s="5">
        <v>0</v>
      </c>
      <c r="V7" s="2">
        <v>0</v>
      </c>
      <c r="W7" s="2"/>
      <c r="X7" s="2"/>
      <c r="Y7" s="2">
        <v>25000</v>
      </c>
      <c r="Z7" s="5">
        <v>61300</v>
      </c>
      <c r="AA7" s="5">
        <v>0</v>
      </c>
      <c r="AB7" s="2" t="s">
        <v>48</v>
      </c>
      <c r="AC7" s="2"/>
      <c r="AD7" s="2" t="s">
        <v>49</v>
      </c>
      <c r="AE7" s="2" t="s">
        <v>50</v>
      </c>
      <c r="AF7" s="2" t="s">
        <v>51</v>
      </c>
      <c r="AG7" s="2" t="s">
        <v>52</v>
      </c>
      <c r="AH7" s="2" t="s">
        <v>53</v>
      </c>
      <c r="AI7" s="5" t="s">
        <v>54</v>
      </c>
      <c r="AJ7" s="5" t="s">
        <v>55</v>
      </c>
      <c r="AK7" s="2" t="s">
        <v>40</v>
      </c>
    </row>
    <row r="8" spans="1:37" s="3" customFormat="1">
      <c r="A8" s="1">
        <f t="shared" si="0"/>
        <v>0</v>
      </c>
      <c r="B8" s="1">
        <v>7</v>
      </c>
      <c r="C8" s="5" t="s">
        <v>68</v>
      </c>
      <c r="D8" s="2" t="s">
        <v>69</v>
      </c>
      <c r="E8" s="5" t="s">
        <v>70</v>
      </c>
      <c r="F8" s="2" t="s">
        <v>40</v>
      </c>
      <c r="G8" s="2" t="s">
        <v>71</v>
      </c>
      <c r="H8" s="2" t="s">
        <v>42</v>
      </c>
      <c r="I8" s="4">
        <v>45382.883113425902</v>
      </c>
      <c r="J8" s="4">
        <v>45382.883131516202</v>
      </c>
      <c r="K8" s="4">
        <v>45382.883113425902</v>
      </c>
      <c r="L8" s="5" t="s">
        <v>43</v>
      </c>
      <c r="M8" s="2" t="s">
        <v>44</v>
      </c>
      <c r="N8" s="2" t="s">
        <v>72</v>
      </c>
      <c r="O8" s="5" t="s">
        <v>73</v>
      </c>
      <c r="P8" s="2" t="s">
        <v>61</v>
      </c>
      <c r="Q8" s="2">
        <v>359924</v>
      </c>
      <c r="R8" s="5">
        <v>359924</v>
      </c>
      <c r="S8" s="5">
        <v>4</v>
      </c>
      <c r="T8" s="5">
        <v>1439696</v>
      </c>
      <c r="U8" s="5">
        <v>0</v>
      </c>
      <c r="V8" s="2">
        <v>0</v>
      </c>
      <c r="W8" s="2">
        <v>4</v>
      </c>
      <c r="X8" s="2">
        <v>0</v>
      </c>
      <c r="Y8" s="2">
        <v>169000</v>
      </c>
      <c r="Z8" s="5">
        <v>1439696</v>
      </c>
      <c r="AA8" s="5">
        <v>0</v>
      </c>
      <c r="AB8" s="2" t="s">
        <v>48</v>
      </c>
      <c r="AC8" s="2"/>
      <c r="AD8" s="2" t="s">
        <v>74</v>
      </c>
      <c r="AE8" s="2" t="s">
        <v>75</v>
      </c>
      <c r="AF8" s="2" t="s">
        <v>76</v>
      </c>
      <c r="AG8" s="2" t="s">
        <v>77</v>
      </c>
      <c r="AH8" s="2" t="s">
        <v>78</v>
      </c>
      <c r="AI8" s="5" t="s">
        <v>54</v>
      </c>
      <c r="AJ8" s="5" t="s">
        <v>55</v>
      </c>
      <c r="AK8" s="2" t="s">
        <v>40</v>
      </c>
    </row>
    <row r="9" spans="1:37" s="3" customFormat="1">
      <c r="A9" s="1">
        <f t="shared" si="0"/>
        <v>1</v>
      </c>
      <c r="B9" s="1">
        <v>8</v>
      </c>
      <c r="C9" s="5" t="s">
        <v>79</v>
      </c>
      <c r="D9" s="2" t="s">
        <v>80</v>
      </c>
      <c r="E9" s="5" t="s">
        <v>81</v>
      </c>
      <c r="F9" s="2" t="s">
        <v>40</v>
      </c>
      <c r="G9" s="2" t="s">
        <v>82</v>
      </c>
      <c r="H9" s="2" t="s">
        <v>83</v>
      </c>
      <c r="I9" s="4">
        <v>45382.655451388899</v>
      </c>
      <c r="J9" s="4">
        <v>45382.655462025497</v>
      </c>
      <c r="K9" s="4">
        <v>45382.655451388899</v>
      </c>
      <c r="L9" s="5" t="s">
        <v>84</v>
      </c>
      <c r="M9" s="2" t="s">
        <v>44</v>
      </c>
      <c r="N9" s="2" t="s">
        <v>85</v>
      </c>
      <c r="O9" s="5" t="s">
        <v>86</v>
      </c>
      <c r="P9" s="2" t="s">
        <v>61</v>
      </c>
      <c r="Q9" s="2">
        <v>79200</v>
      </c>
      <c r="R9" s="5">
        <v>79200</v>
      </c>
      <c r="S9" s="5">
        <v>1</v>
      </c>
      <c r="T9" s="5">
        <v>79200</v>
      </c>
      <c r="U9" s="5">
        <v>0</v>
      </c>
      <c r="V9" s="2">
        <v>0</v>
      </c>
      <c r="W9" s="2">
        <v>2</v>
      </c>
      <c r="X9" s="2">
        <v>0</v>
      </c>
      <c r="Y9" s="2">
        <v>23000</v>
      </c>
      <c r="Z9" s="5">
        <v>136724</v>
      </c>
      <c r="AA9" s="5">
        <v>0</v>
      </c>
      <c r="AB9" s="2" t="s">
        <v>48</v>
      </c>
      <c r="AC9" s="2"/>
      <c r="AD9" s="2" t="s">
        <v>87</v>
      </c>
      <c r="AE9" s="2" t="s">
        <v>88</v>
      </c>
      <c r="AF9" s="2" t="s">
        <v>89</v>
      </c>
      <c r="AG9" s="2" t="s">
        <v>52</v>
      </c>
      <c r="AH9" s="2" t="s">
        <v>53</v>
      </c>
      <c r="AI9" s="5" t="s">
        <v>54</v>
      </c>
      <c r="AJ9" s="5" t="s">
        <v>55</v>
      </c>
      <c r="AK9" s="2" t="s">
        <v>40</v>
      </c>
    </row>
    <row r="10" spans="1:37" s="3" customFormat="1">
      <c r="A10" s="1">
        <f t="shared" si="0"/>
        <v>0</v>
      </c>
      <c r="B10" s="1">
        <v>9</v>
      </c>
      <c r="C10" s="5" t="s">
        <v>79</v>
      </c>
      <c r="D10" s="2" t="s">
        <v>80</v>
      </c>
      <c r="E10" s="5" t="s">
        <v>81</v>
      </c>
      <c r="F10" s="2" t="s">
        <v>40</v>
      </c>
      <c r="G10" s="2" t="s">
        <v>82</v>
      </c>
      <c r="H10" s="2" t="s">
        <v>83</v>
      </c>
      <c r="I10" s="4">
        <v>45382.655451388899</v>
      </c>
      <c r="J10" s="4">
        <v>45382.655462025497</v>
      </c>
      <c r="K10" s="4">
        <v>45382.655451388899</v>
      </c>
      <c r="L10" s="5" t="s">
        <v>84</v>
      </c>
      <c r="M10" s="2" t="s">
        <v>44</v>
      </c>
      <c r="N10" s="2" t="s">
        <v>90</v>
      </c>
      <c r="O10" s="5" t="s">
        <v>91</v>
      </c>
      <c r="P10" s="2" t="s">
        <v>61</v>
      </c>
      <c r="Q10" s="2">
        <v>57524</v>
      </c>
      <c r="R10" s="5">
        <v>57524</v>
      </c>
      <c r="S10" s="5">
        <v>1</v>
      </c>
      <c r="T10" s="5">
        <v>57524</v>
      </c>
      <c r="U10" s="5">
        <v>0</v>
      </c>
      <c r="V10" s="2">
        <v>0</v>
      </c>
      <c r="W10" s="2"/>
      <c r="X10" s="2"/>
      <c r="Y10" s="2">
        <v>23000</v>
      </c>
      <c r="Z10" s="5">
        <v>136724</v>
      </c>
      <c r="AA10" s="5">
        <v>0</v>
      </c>
      <c r="AB10" s="2" t="s">
        <v>48</v>
      </c>
      <c r="AC10" s="2"/>
      <c r="AD10" s="2" t="s">
        <v>87</v>
      </c>
      <c r="AE10" s="2" t="s">
        <v>88</v>
      </c>
      <c r="AF10" s="2" t="s">
        <v>89</v>
      </c>
      <c r="AG10" s="2" t="s">
        <v>52</v>
      </c>
      <c r="AH10" s="2" t="s">
        <v>53</v>
      </c>
      <c r="AI10" s="5" t="s">
        <v>54</v>
      </c>
      <c r="AJ10" s="5" t="s">
        <v>55</v>
      </c>
      <c r="AK10" s="2" t="s">
        <v>40</v>
      </c>
    </row>
    <row r="11" spans="1:37" s="3" customFormat="1">
      <c r="A11" s="1">
        <f t="shared" si="0"/>
        <v>0</v>
      </c>
      <c r="B11" s="1">
        <v>10</v>
      </c>
      <c r="C11" s="5" t="s">
        <v>92</v>
      </c>
      <c r="D11" s="2" t="s">
        <v>93</v>
      </c>
      <c r="E11" s="5" t="s">
        <v>94</v>
      </c>
      <c r="F11" s="2" t="s">
        <v>40</v>
      </c>
      <c r="G11" s="2" t="s">
        <v>95</v>
      </c>
      <c r="H11" s="2" t="s">
        <v>42</v>
      </c>
      <c r="I11" s="4">
        <v>45382.808148148099</v>
      </c>
      <c r="J11" s="4">
        <v>45382.808159907399</v>
      </c>
      <c r="K11" s="4">
        <v>45382.808148148099</v>
      </c>
      <c r="L11" s="5" t="s">
        <v>84</v>
      </c>
      <c r="M11" s="2" t="s">
        <v>44</v>
      </c>
      <c r="N11" s="2" t="s">
        <v>96</v>
      </c>
      <c r="O11" s="5" t="s">
        <v>97</v>
      </c>
      <c r="P11" s="2" t="s">
        <v>61</v>
      </c>
      <c r="Q11" s="2">
        <v>26920</v>
      </c>
      <c r="R11" s="5">
        <v>26920</v>
      </c>
      <c r="S11" s="5">
        <v>1</v>
      </c>
      <c r="T11" s="5">
        <v>26920</v>
      </c>
      <c r="U11" s="5">
        <v>0</v>
      </c>
      <c r="V11" s="2">
        <v>0</v>
      </c>
      <c r="W11" s="2">
        <v>1</v>
      </c>
      <c r="X11" s="2">
        <v>0</v>
      </c>
      <c r="Y11" s="2">
        <v>24000</v>
      </c>
      <c r="Z11" s="5">
        <v>26920</v>
      </c>
      <c r="AA11" s="5">
        <v>0</v>
      </c>
      <c r="AB11" s="2" t="s">
        <v>48</v>
      </c>
      <c r="AC11" s="2"/>
      <c r="AD11" s="2" t="s">
        <v>98</v>
      </c>
      <c r="AE11" s="2" t="s">
        <v>99</v>
      </c>
      <c r="AF11" s="2" t="s">
        <v>100</v>
      </c>
      <c r="AG11" s="2" t="s">
        <v>101</v>
      </c>
      <c r="AH11" s="2" t="s">
        <v>53</v>
      </c>
      <c r="AI11" s="5" t="s">
        <v>54</v>
      </c>
      <c r="AJ11" s="5" t="s">
        <v>55</v>
      </c>
      <c r="AK11" s="2" t="s">
        <v>40</v>
      </c>
    </row>
    <row r="12" spans="1:37" s="3" customFormat="1">
      <c r="A12" s="1">
        <f t="shared" si="0"/>
        <v>0</v>
      </c>
      <c r="B12" s="1">
        <v>11</v>
      </c>
      <c r="C12" s="5" t="s">
        <v>102</v>
      </c>
      <c r="D12" s="2" t="s">
        <v>103</v>
      </c>
      <c r="E12" s="5" t="s">
        <v>104</v>
      </c>
      <c r="F12" s="2" t="s">
        <v>40</v>
      </c>
      <c r="G12" s="2" t="s">
        <v>105</v>
      </c>
      <c r="H12" s="2" t="s">
        <v>42</v>
      </c>
      <c r="I12" s="4">
        <v>45383.003877314797</v>
      </c>
      <c r="J12" s="4">
        <v>45383.003893784698</v>
      </c>
      <c r="K12" s="4">
        <v>45383.003877314797</v>
      </c>
      <c r="L12" s="5" t="s">
        <v>106</v>
      </c>
      <c r="M12" s="2" t="s">
        <v>44</v>
      </c>
      <c r="N12" s="2" t="s">
        <v>107</v>
      </c>
      <c r="O12" s="5" t="s">
        <v>108</v>
      </c>
      <c r="P12" s="2" t="s">
        <v>61</v>
      </c>
      <c r="Q12" s="2">
        <v>197900</v>
      </c>
      <c r="R12" s="5">
        <v>197900</v>
      </c>
      <c r="S12" s="5">
        <v>1</v>
      </c>
      <c r="T12" s="5">
        <v>197900</v>
      </c>
      <c r="U12" s="5">
        <v>0</v>
      </c>
      <c r="V12" s="2">
        <v>0</v>
      </c>
      <c r="W12" s="2">
        <v>1</v>
      </c>
      <c r="X12" s="2">
        <v>0</v>
      </c>
      <c r="Y12" s="2">
        <v>86400</v>
      </c>
      <c r="Z12" s="5">
        <v>197900</v>
      </c>
      <c r="AA12" s="5">
        <v>0</v>
      </c>
      <c r="AB12" s="2" t="s">
        <v>48</v>
      </c>
      <c r="AC12" s="2"/>
      <c r="AD12" s="2" t="s">
        <v>109</v>
      </c>
      <c r="AE12" s="2" t="s">
        <v>110</v>
      </c>
      <c r="AF12" s="2" t="s">
        <v>111</v>
      </c>
      <c r="AG12" s="2" t="s">
        <v>112</v>
      </c>
      <c r="AH12" s="2" t="s">
        <v>53</v>
      </c>
      <c r="AI12" s="5" t="s">
        <v>54</v>
      </c>
      <c r="AJ12" s="5" t="s">
        <v>55</v>
      </c>
      <c r="AK12" s="2" t="s">
        <v>40</v>
      </c>
    </row>
    <row r="13" spans="1:37" s="3" customFormat="1">
      <c r="A13" s="1">
        <f t="shared" si="0"/>
        <v>0</v>
      </c>
      <c r="B13" s="1">
        <v>12</v>
      </c>
      <c r="C13" s="5" t="s">
        <v>113</v>
      </c>
      <c r="D13" s="2" t="s">
        <v>114</v>
      </c>
      <c r="E13" s="5" t="s">
        <v>115</v>
      </c>
      <c r="F13" s="2" t="s">
        <v>40</v>
      </c>
      <c r="G13" s="2" t="s">
        <v>116</v>
      </c>
      <c r="H13" s="2" t="s">
        <v>83</v>
      </c>
      <c r="I13" s="4">
        <v>45382.699490740699</v>
      </c>
      <c r="J13" s="4">
        <v>45382.6995027546</v>
      </c>
      <c r="K13" s="4">
        <v>45382.699490740699</v>
      </c>
      <c r="L13" s="5" t="s">
        <v>106</v>
      </c>
      <c r="M13" s="2" t="s">
        <v>44</v>
      </c>
      <c r="N13" s="2" t="s">
        <v>117</v>
      </c>
      <c r="O13" s="5" t="s">
        <v>118</v>
      </c>
      <c r="P13" s="2" t="s">
        <v>61</v>
      </c>
      <c r="Q13" s="2">
        <v>799200</v>
      </c>
      <c r="R13" s="5">
        <v>799200</v>
      </c>
      <c r="S13" s="5">
        <v>1</v>
      </c>
      <c r="T13" s="5">
        <v>799200</v>
      </c>
      <c r="U13" s="5">
        <v>0</v>
      </c>
      <c r="V13" s="2">
        <v>0</v>
      </c>
      <c r="W13" s="2">
        <v>1</v>
      </c>
      <c r="X13" s="2">
        <v>0</v>
      </c>
      <c r="Y13" s="2">
        <v>100000</v>
      </c>
      <c r="Z13" s="5">
        <v>799200</v>
      </c>
      <c r="AA13" s="5">
        <v>0</v>
      </c>
      <c r="AB13" s="2" t="s">
        <v>48</v>
      </c>
      <c r="AC13" s="2"/>
      <c r="AD13" s="2" t="s">
        <v>119</v>
      </c>
      <c r="AE13" s="2" t="s">
        <v>120</v>
      </c>
      <c r="AF13" s="2" t="s">
        <v>121</v>
      </c>
      <c r="AG13" s="2" t="s">
        <v>112</v>
      </c>
      <c r="AH13" s="2" t="s">
        <v>53</v>
      </c>
      <c r="AI13" s="5" t="s">
        <v>54</v>
      </c>
      <c r="AJ13" s="5" t="s">
        <v>55</v>
      </c>
      <c r="AK13" s="2" t="s">
        <v>40</v>
      </c>
    </row>
    <row r="14" spans="1:37" s="3" customFormat="1">
      <c r="A14" s="1">
        <f t="shared" si="0"/>
        <v>0</v>
      </c>
      <c r="B14" s="1">
        <v>13</v>
      </c>
      <c r="C14" s="5" t="s">
        <v>122</v>
      </c>
      <c r="D14" s="2" t="s">
        <v>69</v>
      </c>
      <c r="E14" s="5" t="s">
        <v>123</v>
      </c>
      <c r="F14" s="2" t="s">
        <v>40</v>
      </c>
      <c r="G14" s="2" t="s">
        <v>124</v>
      </c>
      <c r="H14" s="2" t="s">
        <v>125</v>
      </c>
      <c r="I14" s="4">
        <v>45382.766990740703</v>
      </c>
      <c r="J14" s="4">
        <v>45382.767003425899</v>
      </c>
      <c r="K14" s="4">
        <v>45382.766990740703</v>
      </c>
      <c r="L14" s="5" t="s">
        <v>126</v>
      </c>
      <c r="M14" s="2" t="s">
        <v>44</v>
      </c>
      <c r="N14" s="2" t="s">
        <v>127</v>
      </c>
      <c r="O14" s="5" t="s">
        <v>128</v>
      </c>
      <c r="P14" s="2" t="s">
        <v>58</v>
      </c>
      <c r="Q14" s="2">
        <v>10000</v>
      </c>
      <c r="R14" s="5">
        <v>10000</v>
      </c>
      <c r="S14" s="5">
        <v>10</v>
      </c>
      <c r="T14" s="5">
        <v>100000</v>
      </c>
      <c r="U14" s="5">
        <v>0</v>
      </c>
      <c r="V14" s="2">
        <v>2000</v>
      </c>
      <c r="W14" s="2">
        <v>10</v>
      </c>
      <c r="X14" s="2">
        <v>2000</v>
      </c>
      <c r="Y14" s="2">
        <v>27500</v>
      </c>
      <c r="Z14" s="5">
        <v>100000</v>
      </c>
      <c r="AA14" s="5">
        <v>0</v>
      </c>
      <c r="AB14" s="2" t="s">
        <v>48</v>
      </c>
      <c r="AC14" s="2"/>
      <c r="AD14" s="2" t="s">
        <v>129</v>
      </c>
      <c r="AE14" s="2" t="s">
        <v>130</v>
      </c>
      <c r="AF14" s="2" t="s">
        <v>131</v>
      </c>
      <c r="AG14" s="2" t="s">
        <v>132</v>
      </c>
      <c r="AH14" s="2" t="s">
        <v>78</v>
      </c>
      <c r="AI14" s="5" t="s">
        <v>54</v>
      </c>
      <c r="AJ14" s="5" t="s">
        <v>55</v>
      </c>
      <c r="AK14" s="2" t="s">
        <v>40</v>
      </c>
    </row>
    <row r="15" spans="1:37" s="3" customFormat="1">
      <c r="A15" s="1">
        <f t="shared" si="0"/>
        <v>0</v>
      </c>
      <c r="B15" s="1">
        <v>14</v>
      </c>
      <c r="C15" s="5" t="s">
        <v>133</v>
      </c>
      <c r="D15" s="2" t="s">
        <v>134</v>
      </c>
      <c r="E15" s="5" t="s">
        <v>135</v>
      </c>
      <c r="F15" s="2" t="s">
        <v>40</v>
      </c>
      <c r="G15" s="2" t="s">
        <v>136</v>
      </c>
      <c r="H15" s="2" t="s">
        <v>125</v>
      </c>
      <c r="I15" s="4">
        <v>45382.849247685197</v>
      </c>
      <c r="J15" s="4">
        <v>45382.849262349497</v>
      </c>
      <c r="K15" s="4">
        <v>45382.849247685197</v>
      </c>
      <c r="L15" s="5" t="s">
        <v>126</v>
      </c>
      <c r="M15" s="2" t="s">
        <v>44</v>
      </c>
      <c r="N15" s="2" t="s">
        <v>137</v>
      </c>
      <c r="O15" s="5" t="s">
        <v>138</v>
      </c>
      <c r="P15" s="2" t="s">
        <v>61</v>
      </c>
      <c r="Q15" s="2">
        <v>49900</v>
      </c>
      <c r="R15" s="5">
        <v>49900</v>
      </c>
      <c r="S15" s="5">
        <v>1</v>
      </c>
      <c r="T15" s="5">
        <v>49900</v>
      </c>
      <c r="U15" s="5">
        <v>0</v>
      </c>
      <c r="V15" s="2">
        <v>0</v>
      </c>
      <c r="W15" s="2">
        <v>1</v>
      </c>
      <c r="X15" s="2">
        <v>0</v>
      </c>
      <c r="Y15" s="2">
        <v>22500</v>
      </c>
      <c r="Z15" s="5">
        <v>49900</v>
      </c>
      <c r="AA15" s="5">
        <v>0</v>
      </c>
      <c r="AB15" s="2" t="s">
        <v>48</v>
      </c>
      <c r="AC15" s="2"/>
      <c r="AD15" s="2" t="s">
        <v>139</v>
      </c>
      <c r="AE15" s="2" t="s">
        <v>140</v>
      </c>
      <c r="AF15" s="2" t="s">
        <v>141</v>
      </c>
      <c r="AG15" s="2" t="s">
        <v>142</v>
      </c>
      <c r="AH15" s="2" t="s">
        <v>78</v>
      </c>
      <c r="AI15" s="5" t="s">
        <v>54</v>
      </c>
      <c r="AJ15" s="5" t="s">
        <v>55</v>
      </c>
      <c r="AK15" s="2" t="s">
        <v>40</v>
      </c>
    </row>
    <row r="16" spans="1:37" s="3" customFormat="1">
      <c r="A16" s="1">
        <f t="shared" si="0"/>
        <v>0</v>
      </c>
      <c r="B16" s="1">
        <v>15</v>
      </c>
      <c r="C16" s="5" t="s">
        <v>143</v>
      </c>
      <c r="D16" s="2" t="s">
        <v>144</v>
      </c>
      <c r="E16" s="5" t="s">
        <v>145</v>
      </c>
      <c r="F16" s="2" t="s">
        <v>40</v>
      </c>
      <c r="G16" s="2" t="s">
        <v>146</v>
      </c>
      <c r="H16" s="2" t="s">
        <v>125</v>
      </c>
      <c r="I16" s="4">
        <v>45383.207337963002</v>
      </c>
      <c r="J16" s="4">
        <v>45383.207362650501</v>
      </c>
      <c r="K16" s="4">
        <v>45383.207337963002</v>
      </c>
      <c r="L16" s="5" t="s">
        <v>126</v>
      </c>
      <c r="M16" s="2" t="s">
        <v>44</v>
      </c>
      <c r="N16" s="2" t="s">
        <v>147</v>
      </c>
      <c r="O16" s="5" t="s">
        <v>148</v>
      </c>
      <c r="P16" s="2" t="s">
        <v>61</v>
      </c>
      <c r="Q16" s="2">
        <v>49900</v>
      </c>
      <c r="R16" s="5">
        <v>49900</v>
      </c>
      <c r="S16" s="5">
        <v>1</v>
      </c>
      <c r="T16" s="5">
        <v>49900</v>
      </c>
      <c r="U16" s="5">
        <v>0</v>
      </c>
      <c r="V16" s="2">
        <v>300</v>
      </c>
      <c r="W16" s="2">
        <v>1</v>
      </c>
      <c r="X16" s="2">
        <v>300</v>
      </c>
      <c r="Y16" s="2">
        <v>22500</v>
      </c>
      <c r="Z16" s="5">
        <v>49900</v>
      </c>
      <c r="AA16" s="5">
        <v>0</v>
      </c>
      <c r="AB16" s="2" t="s">
        <v>48</v>
      </c>
      <c r="AC16" s="2"/>
      <c r="AD16" s="2" t="s">
        <v>149</v>
      </c>
      <c r="AE16" s="2" t="s">
        <v>150</v>
      </c>
      <c r="AF16" s="2" t="s">
        <v>151</v>
      </c>
      <c r="AG16" s="2" t="s">
        <v>142</v>
      </c>
      <c r="AH16" s="2" t="s">
        <v>78</v>
      </c>
      <c r="AI16" s="5" t="s">
        <v>54</v>
      </c>
      <c r="AJ16" s="5" t="s">
        <v>55</v>
      </c>
      <c r="AK16" s="2" t="s">
        <v>40</v>
      </c>
    </row>
    <row r="17" spans="1:37" s="3" customFormat="1">
      <c r="A17" s="1">
        <f t="shared" si="0"/>
        <v>0</v>
      </c>
      <c r="B17" s="1">
        <v>16</v>
      </c>
      <c r="C17" s="5" t="s">
        <v>152</v>
      </c>
      <c r="D17" s="2" t="s">
        <v>144</v>
      </c>
      <c r="E17" s="5" t="s">
        <v>153</v>
      </c>
      <c r="F17" s="2" t="s">
        <v>40</v>
      </c>
      <c r="G17" s="2" t="s">
        <v>154</v>
      </c>
      <c r="H17" s="2" t="s">
        <v>125</v>
      </c>
      <c r="I17" s="4">
        <v>45383.204479166699</v>
      </c>
      <c r="J17" s="4">
        <v>45383.204498784697</v>
      </c>
      <c r="K17" s="4">
        <v>45383.204479166699</v>
      </c>
      <c r="L17" s="5" t="s">
        <v>126</v>
      </c>
      <c r="M17" s="2" t="s">
        <v>44</v>
      </c>
      <c r="N17" s="2" t="s">
        <v>155</v>
      </c>
      <c r="O17" s="5" t="s">
        <v>156</v>
      </c>
      <c r="P17" s="2" t="s">
        <v>61</v>
      </c>
      <c r="Q17" s="2">
        <v>149202</v>
      </c>
      <c r="R17" s="5">
        <v>149202</v>
      </c>
      <c r="S17" s="5">
        <v>1</v>
      </c>
      <c r="T17" s="5">
        <v>149202</v>
      </c>
      <c r="U17" s="5">
        <v>0</v>
      </c>
      <c r="V17" s="2">
        <v>0</v>
      </c>
      <c r="W17" s="2">
        <v>1</v>
      </c>
      <c r="X17" s="2">
        <v>0</v>
      </c>
      <c r="Y17" s="2">
        <v>25500</v>
      </c>
      <c r="Z17" s="5">
        <v>149202</v>
      </c>
      <c r="AA17" s="5">
        <v>0</v>
      </c>
      <c r="AB17" s="2" t="s">
        <v>48</v>
      </c>
      <c r="AC17" s="2"/>
      <c r="AD17" s="2" t="s">
        <v>157</v>
      </c>
      <c r="AE17" s="2" t="s">
        <v>158</v>
      </c>
      <c r="AF17" s="2" t="s">
        <v>159</v>
      </c>
      <c r="AG17" s="2" t="s">
        <v>77</v>
      </c>
      <c r="AH17" s="2" t="s">
        <v>78</v>
      </c>
      <c r="AI17" s="5" t="s">
        <v>54</v>
      </c>
      <c r="AJ17" s="5" t="s">
        <v>55</v>
      </c>
      <c r="AK17" s="2" t="s">
        <v>40</v>
      </c>
    </row>
    <row r="18" spans="1:37" s="3" customFormat="1">
      <c r="A18" s="1">
        <f t="shared" si="0"/>
        <v>0</v>
      </c>
      <c r="B18" s="1">
        <v>17</v>
      </c>
      <c r="C18" s="5" t="s">
        <v>160</v>
      </c>
      <c r="D18" s="2" t="s">
        <v>161</v>
      </c>
      <c r="E18" s="5" t="s">
        <v>162</v>
      </c>
      <c r="F18" s="2" t="s">
        <v>40</v>
      </c>
      <c r="G18" s="2" t="s">
        <v>163</v>
      </c>
      <c r="H18" s="2" t="s">
        <v>125</v>
      </c>
      <c r="I18" s="4">
        <v>45383.055393518502</v>
      </c>
      <c r="J18" s="4">
        <v>45383.055407071799</v>
      </c>
      <c r="K18" s="4">
        <v>45383.055393518502</v>
      </c>
      <c r="L18" s="5" t="s">
        <v>164</v>
      </c>
      <c r="M18" s="2" t="s">
        <v>44</v>
      </c>
      <c r="N18" s="2" t="s">
        <v>165</v>
      </c>
      <c r="O18" s="5" t="s">
        <v>166</v>
      </c>
      <c r="P18" s="2" t="s">
        <v>61</v>
      </c>
      <c r="Q18" s="2">
        <v>43900</v>
      </c>
      <c r="R18" s="5">
        <v>43900</v>
      </c>
      <c r="S18" s="5">
        <v>1</v>
      </c>
      <c r="T18" s="5">
        <v>43900</v>
      </c>
      <c r="U18" s="5">
        <v>0</v>
      </c>
      <c r="V18" s="2">
        <v>200</v>
      </c>
      <c r="W18" s="2">
        <v>1</v>
      </c>
      <c r="X18" s="2">
        <v>200</v>
      </c>
      <c r="Y18" s="2">
        <v>25500</v>
      </c>
      <c r="Z18" s="5">
        <v>43900</v>
      </c>
      <c r="AA18" s="5">
        <v>0</v>
      </c>
      <c r="AB18" s="2" t="s">
        <v>48</v>
      </c>
      <c r="AC18" s="2"/>
      <c r="AD18" s="2" t="s">
        <v>167</v>
      </c>
      <c r="AE18" s="2" t="s">
        <v>168</v>
      </c>
      <c r="AF18" s="2" t="s">
        <v>169</v>
      </c>
      <c r="AG18" s="2" t="s">
        <v>101</v>
      </c>
      <c r="AH18" s="2" t="s">
        <v>53</v>
      </c>
      <c r="AI18" s="5" t="s">
        <v>54</v>
      </c>
      <c r="AJ18" s="5" t="s">
        <v>55</v>
      </c>
      <c r="AK18" s="2" t="s">
        <v>40</v>
      </c>
    </row>
    <row r="19" spans="1:37" s="3" customFormat="1">
      <c r="A19" s="1">
        <f t="shared" si="0"/>
        <v>1</v>
      </c>
      <c r="B19" s="1">
        <v>18</v>
      </c>
      <c r="C19" s="5" t="s">
        <v>170</v>
      </c>
      <c r="D19" s="2" t="s">
        <v>69</v>
      </c>
      <c r="E19" s="5" t="s">
        <v>171</v>
      </c>
      <c r="F19" s="2" t="s">
        <v>172</v>
      </c>
      <c r="G19" s="2" t="s">
        <v>173</v>
      </c>
      <c r="H19" s="2" t="s">
        <v>125</v>
      </c>
      <c r="I19" s="4">
        <v>45383.027488425898</v>
      </c>
      <c r="J19" s="4">
        <v>45383.0275025347</v>
      </c>
      <c r="K19" s="4">
        <v>45383.027488425898</v>
      </c>
      <c r="L19" s="5" t="s">
        <v>164</v>
      </c>
      <c r="M19" s="2" t="s">
        <v>44</v>
      </c>
      <c r="N19" s="2" t="s">
        <v>174</v>
      </c>
      <c r="O19" s="5" t="s">
        <v>175</v>
      </c>
      <c r="P19" s="2" t="s">
        <v>176</v>
      </c>
      <c r="Q19" s="2">
        <v>79900</v>
      </c>
      <c r="R19" s="5">
        <v>79900</v>
      </c>
      <c r="S19" s="5">
        <v>1</v>
      </c>
      <c r="T19" s="5">
        <v>79900</v>
      </c>
      <c r="U19" s="5">
        <v>0</v>
      </c>
      <c r="V19" s="2">
        <v>2000</v>
      </c>
      <c r="W19" s="2">
        <v>4</v>
      </c>
      <c r="X19" s="2">
        <v>5000</v>
      </c>
      <c r="Y19" s="2">
        <v>25500</v>
      </c>
      <c r="Z19" s="5">
        <v>262806</v>
      </c>
      <c r="AA19" s="5">
        <v>0</v>
      </c>
      <c r="AB19" s="2" t="s">
        <v>48</v>
      </c>
      <c r="AC19" s="2"/>
      <c r="AD19" s="2" t="s">
        <v>177</v>
      </c>
      <c r="AE19" s="2" t="s">
        <v>178</v>
      </c>
      <c r="AF19" s="2" t="s">
        <v>179</v>
      </c>
      <c r="AG19" s="2" t="s">
        <v>77</v>
      </c>
      <c r="AH19" s="2" t="s">
        <v>78</v>
      </c>
      <c r="AI19" s="5" t="s">
        <v>54</v>
      </c>
      <c r="AJ19" s="5" t="s">
        <v>55</v>
      </c>
      <c r="AK19" s="2" t="s">
        <v>172</v>
      </c>
    </row>
    <row r="20" spans="1:37" s="3" customFormat="1">
      <c r="A20" s="1">
        <f t="shared" si="0"/>
        <v>1</v>
      </c>
      <c r="B20" s="1">
        <v>19</v>
      </c>
      <c r="C20" s="5" t="s">
        <v>170</v>
      </c>
      <c r="D20" s="2" t="s">
        <v>69</v>
      </c>
      <c r="E20" s="5" t="s">
        <v>171</v>
      </c>
      <c r="F20" s="2" t="s">
        <v>172</v>
      </c>
      <c r="G20" s="2" t="s">
        <v>173</v>
      </c>
      <c r="H20" s="2" t="s">
        <v>125</v>
      </c>
      <c r="I20" s="4">
        <v>45383.027488425898</v>
      </c>
      <c r="J20" s="4">
        <v>45383.0275025347</v>
      </c>
      <c r="K20" s="4">
        <v>45383.027488425898</v>
      </c>
      <c r="L20" s="5" t="s">
        <v>164</v>
      </c>
      <c r="M20" s="2" t="s">
        <v>44</v>
      </c>
      <c r="N20" s="2" t="s">
        <v>180</v>
      </c>
      <c r="O20" s="5" t="s">
        <v>181</v>
      </c>
      <c r="P20" s="2" t="s">
        <v>182</v>
      </c>
      <c r="Q20" s="2">
        <v>75106</v>
      </c>
      <c r="R20" s="5">
        <v>75106</v>
      </c>
      <c r="S20" s="5">
        <v>1</v>
      </c>
      <c r="T20" s="5">
        <v>75106</v>
      </c>
      <c r="U20" s="5">
        <v>0</v>
      </c>
      <c r="V20" s="2">
        <v>2000</v>
      </c>
      <c r="W20" s="2"/>
      <c r="X20" s="2"/>
      <c r="Y20" s="2">
        <v>25500</v>
      </c>
      <c r="Z20" s="5">
        <v>262806</v>
      </c>
      <c r="AA20" s="5">
        <v>0</v>
      </c>
      <c r="AB20" s="2" t="s">
        <v>48</v>
      </c>
      <c r="AC20" s="2"/>
      <c r="AD20" s="2" t="s">
        <v>177</v>
      </c>
      <c r="AE20" s="2" t="s">
        <v>178</v>
      </c>
      <c r="AF20" s="2" t="s">
        <v>179</v>
      </c>
      <c r="AG20" s="2" t="s">
        <v>77</v>
      </c>
      <c r="AH20" s="2" t="s">
        <v>78</v>
      </c>
      <c r="AI20" s="5" t="s">
        <v>54</v>
      </c>
      <c r="AJ20" s="5" t="s">
        <v>55</v>
      </c>
      <c r="AK20" s="2" t="s">
        <v>172</v>
      </c>
    </row>
    <row r="21" spans="1:37" s="3" customFormat="1">
      <c r="A21" s="1">
        <f t="shared" si="0"/>
        <v>1</v>
      </c>
      <c r="B21" s="1">
        <v>20</v>
      </c>
      <c r="C21" s="5" t="s">
        <v>170</v>
      </c>
      <c r="D21" s="2" t="s">
        <v>69</v>
      </c>
      <c r="E21" s="5" t="s">
        <v>171</v>
      </c>
      <c r="F21" s="2" t="s">
        <v>172</v>
      </c>
      <c r="G21" s="2" t="s">
        <v>173</v>
      </c>
      <c r="H21" s="2" t="s">
        <v>125</v>
      </c>
      <c r="I21" s="4">
        <v>45383.027488425898</v>
      </c>
      <c r="J21" s="4">
        <v>45383.0275025347</v>
      </c>
      <c r="K21" s="4">
        <v>45383.027488425898</v>
      </c>
      <c r="L21" s="5" t="s">
        <v>164</v>
      </c>
      <c r="M21" s="2" t="s">
        <v>44</v>
      </c>
      <c r="N21" s="2" t="s">
        <v>183</v>
      </c>
      <c r="O21" s="5" t="s">
        <v>184</v>
      </c>
      <c r="P21" s="2" t="s">
        <v>185</v>
      </c>
      <c r="Q21" s="2">
        <v>49900</v>
      </c>
      <c r="R21" s="5">
        <v>49900</v>
      </c>
      <c r="S21" s="5">
        <v>1</v>
      </c>
      <c r="T21" s="5">
        <v>49900</v>
      </c>
      <c r="U21" s="5">
        <v>0</v>
      </c>
      <c r="V21" s="2">
        <v>1000</v>
      </c>
      <c r="W21" s="2"/>
      <c r="X21" s="2"/>
      <c r="Y21" s="2">
        <v>25500</v>
      </c>
      <c r="Z21" s="5">
        <v>262806</v>
      </c>
      <c r="AA21" s="5">
        <v>0</v>
      </c>
      <c r="AB21" s="2" t="s">
        <v>48</v>
      </c>
      <c r="AC21" s="2"/>
      <c r="AD21" s="2" t="s">
        <v>177</v>
      </c>
      <c r="AE21" s="2" t="s">
        <v>178</v>
      </c>
      <c r="AF21" s="2" t="s">
        <v>179</v>
      </c>
      <c r="AG21" s="2" t="s">
        <v>77</v>
      </c>
      <c r="AH21" s="2" t="s">
        <v>78</v>
      </c>
      <c r="AI21" s="5" t="s">
        <v>54</v>
      </c>
      <c r="AJ21" s="5" t="s">
        <v>55</v>
      </c>
      <c r="AK21" s="2" t="s">
        <v>172</v>
      </c>
    </row>
    <row r="22" spans="1:37" s="3" customFormat="1">
      <c r="A22" s="1" t="e">
        <f>IF(C22=#REF!,1,0)</f>
        <v>#REF!</v>
      </c>
      <c r="B22" s="1">
        <v>21</v>
      </c>
      <c r="C22" s="5" t="s">
        <v>170</v>
      </c>
      <c r="D22" s="2" t="s">
        <v>69</v>
      </c>
      <c r="E22" s="5" t="s">
        <v>171</v>
      </c>
      <c r="F22" s="2" t="s">
        <v>172</v>
      </c>
      <c r="G22" s="2" t="s">
        <v>173</v>
      </c>
      <c r="H22" s="2" t="s">
        <v>125</v>
      </c>
      <c r="I22" s="4">
        <v>45383.027488425898</v>
      </c>
      <c r="J22" s="4">
        <v>45383.0275025347</v>
      </c>
      <c r="K22" s="4">
        <v>45383.027488425898</v>
      </c>
      <c r="L22" s="5" t="s">
        <v>164</v>
      </c>
      <c r="M22" s="2" t="s">
        <v>44</v>
      </c>
      <c r="N22" s="2" t="s">
        <v>186</v>
      </c>
      <c r="O22" s="5" t="s">
        <v>187</v>
      </c>
      <c r="P22" s="2" t="s">
        <v>61</v>
      </c>
      <c r="Q22" s="2">
        <v>57900</v>
      </c>
      <c r="R22" s="5">
        <v>57900</v>
      </c>
      <c r="S22" s="5">
        <v>1</v>
      </c>
      <c r="T22" s="5">
        <v>57900</v>
      </c>
      <c r="U22" s="5">
        <v>0</v>
      </c>
      <c r="V22" s="2">
        <v>0</v>
      </c>
      <c r="W22" s="2"/>
      <c r="X22" s="2"/>
      <c r="Y22" s="2">
        <v>25500</v>
      </c>
      <c r="Z22" s="5">
        <v>262806</v>
      </c>
      <c r="AA22" s="5">
        <v>0</v>
      </c>
      <c r="AB22" s="2" t="s">
        <v>48</v>
      </c>
      <c r="AC22" s="2"/>
      <c r="AD22" s="2" t="s">
        <v>177</v>
      </c>
      <c r="AE22" s="2" t="s">
        <v>178</v>
      </c>
      <c r="AF22" s="2" t="s">
        <v>179</v>
      </c>
      <c r="AG22" s="2" t="s">
        <v>77</v>
      </c>
      <c r="AH22" s="2" t="s">
        <v>78</v>
      </c>
      <c r="AI22" s="5" t="s">
        <v>54</v>
      </c>
      <c r="AJ22" s="5" t="s">
        <v>55</v>
      </c>
      <c r="AK22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2026-03-30T09:22:02Z</dcterms:created>
  <dcterms:modified xsi:type="dcterms:W3CDTF">2026-03-30T09:31:27Z</dcterms:modified>
</cp:coreProperties>
</file>